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refreshAllConnections="1"/>
  <bookViews>
    <workbookView xWindow="-120" yWindow="-120" windowWidth="23256" windowHeight="13176"/>
  </bookViews>
  <sheets>
    <sheet name="Chiffrage" sheetId="3" r:id="rId1"/>
    <sheet name="Evaluation de la charge" sheetId="1" r:id="rId2"/>
    <sheet name="Ratios" sheetId="2" r:id="rId3"/>
  </sheets>
  <definedNames>
    <definedName name="_xlcn.WorksheetConnection_Classeur1Tableau31" hidden="1">Tableau3[]</definedName>
    <definedName name="_xlnm.Print_Titles" localSheetId="0">Chiffrage!#REF!</definedName>
    <definedName name="_xlnm.Print_Titles" localSheetId="1">'Evaluation de la charge'!$1:$1</definedName>
  </definedNames>
  <calcPr calcId="145621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3" name="Tableau3" connection="WorksheetConnection_Classeur1!Tableau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3" l="1"/>
  <c r="E4" i="1" l="1"/>
  <c r="F4" i="1"/>
  <c r="G4" i="1"/>
  <c r="H4" i="1"/>
  <c r="I4" i="1"/>
  <c r="J4" i="1"/>
  <c r="E5" i="1"/>
  <c r="F5" i="1"/>
  <c r="G5" i="1"/>
  <c r="H5" i="1"/>
  <c r="I5" i="1"/>
  <c r="J5" i="1"/>
  <c r="E3" i="1"/>
  <c r="F3" i="1"/>
  <c r="G3" i="1"/>
  <c r="H3" i="1"/>
  <c r="I3" i="1"/>
  <c r="J3" i="1"/>
  <c r="E2" i="1"/>
  <c r="F2" i="1"/>
  <c r="G2" i="1"/>
  <c r="H2" i="1"/>
  <c r="I2" i="1"/>
  <c r="J2" i="1"/>
  <c r="K4" i="1" l="1"/>
  <c r="L4" i="1" s="1"/>
  <c r="K5" i="1"/>
  <c r="L5" i="1" s="1"/>
  <c r="K2" i="1"/>
  <c r="L2" i="1" s="1"/>
  <c r="K3" i="1"/>
  <c r="L3" i="1" s="1"/>
  <c r="E1" i="3" l="1"/>
  <c r="H1" i="3" s="1"/>
</calcChain>
</file>

<file path=xl/comments1.xml><?xml version="1.0" encoding="utf-8"?>
<comments xmlns="http://schemas.openxmlformats.org/spreadsheetml/2006/main">
  <authors>
    <author>Elie VANDYCKE</author>
    <author>Elie Vandycke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Elie VANDYCKE:</t>
        </r>
        <r>
          <rPr>
            <sz val="9"/>
            <color indexed="81"/>
            <rFont val="Tahoma"/>
            <family val="2"/>
          </rPr>
          <t xml:space="preserve">
Prise en charge des retours de recette fonctionnelle</t>
        </r>
      </text>
    </comment>
    <comment ref="A3" authorId="0">
      <text>
        <r>
          <rPr>
            <b/>
            <sz val="9"/>
            <color indexed="81"/>
            <rFont val="Tahoma"/>
            <family val="2"/>
          </rPr>
          <t>Elie VANDYCKE:</t>
        </r>
        <r>
          <rPr>
            <sz val="9"/>
            <color indexed="81"/>
            <rFont val="Tahoma"/>
            <family val="2"/>
          </rPr>
          <t xml:space="preserve">
Mise à jour des fiches de flux, ...</t>
        </r>
      </text>
    </comment>
    <comment ref="A4" authorId="1">
      <text>
        <r>
          <rPr>
            <b/>
            <sz val="9"/>
            <color indexed="81"/>
            <rFont val="Tahoma"/>
            <family val="2"/>
          </rPr>
          <t>Elie Vandycke:</t>
        </r>
        <r>
          <rPr>
            <sz val="9"/>
            <color indexed="81"/>
            <rFont val="Tahoma"/>
            <family val="2"/>
          </rPr>
          <t xml:space="preserve">
Mise en recette</t>
        </r>
      </text>
    </comment>
    <comment ref="A5" authorId="1">
      <text>
        <r>
          <rPr>
            <b/>
            <sz val="9"/>
            <color indexed="81"/>
            <rFont val="Tahoma"/>
            <family val="2"/>
          </rPr>
          <t>Elie Vandycke:</t>
        </r>
        <r>
          <rPr>
            <sz val="9"/>
            <color indexed="81"/>
            <rFont val="Tahoma"/>
            <family val="2"/>
          </rPr>
          <t xml:space="preserve">
Mise en préproduction</t>
        </r>
      </text>
    </comment>
    <comment ref="A6" authorId="1">
      <text>
        <r>
          <rPr>
            <b/>
            <sz val="9"/>
            <color indexed="81"/>
            <rFont val="Tahoma"/>
            <family val="2"/>
          </rPr>
          <t>Elie Vandycke:</t>
        </r>
        <r>
          <rPr>
            <sz val="9"/>
            <color indexed="81"/>
            <rFont val="Tahoma"/>
            <family val="2"/>
          </rPr>
          <t xml:space="preserve">
Mise en production</t>
        </r>
      </text>
    </comment>
    <comment ref="A7" authorId="0">
      <text>
        <r>
          <rPr>
            <b/>
            <sz val="9"/>
            <color indexed="81"/>
            <rFont val="Tahoma"/>
            <family val="2"/>
          </rPr>
          <t>Elie VANDYCKE:</t>
        </r>
        <r>
          <rPr>
            <sz val="9"/>
            <color indexed="81"/>
            <rFont val="Tahoma"/>
            <family val="2"/>
          </rPr>
          <t xml:space="preserve">
Les réunions, l'avancement, les coproj, les copil ...</t>
        </r>
      </text>
    </comment>
    <comment ref="A8" authorId="0">
      <text>
        <r>
          <rPr>
            <b/>
            <sz val="9"/>
            <color indexed="81"/>
            <rFont val="Tahoma"/>
            <family val="2"/>
          </rPr>
          <t>Elie VANDYCKE:</t>
        </r>
        <r>
          <rPr>
            <sz val="9"/>
            <color indexed="81"/>
            <rFont val="Tahoma"/>
            <family val="2"/>
          </rPr>
          <t xml:space="preserve">
Un loupé dans l'analyse technique, des soucis d'infra, ...</t>
        </r>
      </text>
    </comment>
    <comment ref="A9" authorId="1">
      <text>
        <r>
          <rPr>
            <b/>
            <sz val="9"/>
            <color indexed="81"/>
            <rFont val="Tahoma"/>
            <family val="2"/>
          </rPr>
          <t>Elie Vandycke:</t>
        </r>
        <r>
          <rPr>
            <sz val="9"/>
            <color indexed="81"/>
            <rFont val="Tahoma"/>
            <family val="2"/>
          </rPr>
          <t xml:space="preserve">
La revue de code est impérative avec l'architecte, le CDP ou le lead-dev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èle de donnée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Classeur1!Tableau3" type="102" refreshedVersion="7" minRefreshableVersion="5">
    <extLst>
      <ext xmlns:x15="http://schemas.microsoft.com/office/spreadsheetml/2010/11/main" uri="{DE250136-89BD-433C-8126-D09CA5730AF9}">
        <x15:connection id="Tableau3" autoDelete="1">
          <x15:rangePr sourceName="_xlcn.WorksheetConnection_Classeur1Tableau31"/>
        </x15:connection>
      </ext>
    </extLst>
  </connection>
</connections>
</file>

<file path=xl/sharedStrings.xml><?xml version="1.0" encoding="utf-8"?>
<sst xmlns="http://schemas.openxmlformats.org/spreadsheetml/2006/main" count="51" uniqueCount="37">
  <si>
    <t>Numéro</t>
  </si>
  <si>
    <t>Commentaires</t>
  </si>
  <si>
    <t>Ratio</t>
  </si>
  <si>
    <t>Seuil min.</t>
  </si>
  <si>
    <t>Seuil retenu</t>
  </si>
  <si>
    <t>Seuil max.</t>
  </si>
  <si>
    <t>Recette fonctionnelle</t>
  </si>
  <si>
    <t>Sur la base des charges de réalisation</t>
  </si>
  <si>
    <t>Documentation</t>
  </si>
  <si>
    <t>Gestion de projet</t>
  </si>
  <si>
    <t>Provision pour imprévu</t>
  </si>
  <si>
    <t>Nombre d'heures par jour</t>
  </si>
  <si>
    <t>Tâche à réaliser</t>
  </si>
  <si>
    <t>Charge totale (en heures)</t>
  </si>
  <si>
    <t>Charge totale (en jours)</t>
  </si>
  <si>
    <t>Recette (en h)</t>
  </si>
  <si>
    <t>Documentation (en h)</t>
  </si>
  <si>
    <t>Pilotage (en h)</t>
  </si>
  <si>
    <t>Imprévus (en h)</t>
  </si>
  <si>
    <t>Revue de code</t>
  </si>
  <si>
    <t>Charge estimée (en h)</t>
  </si>
  <si>
    <t>Revue de code (en h)</t>
  </si>
  <si>
    <t>MEQ</t>
  </si>
  <si>
    <t>MEPP</t>
  </si>
  <si>
    <t>MEP</t>
  </si>
  <si>
    <t>MEQ (en h)</t>
  </si>
  <si>
    <t>MEPP (en h)</t>
  </si>
  <si>
    <t>MEP (en h)</t>
  </si>
  <si>
    <t>Sur la base des charges de réalisation + recette fonctionnelle + documentation + MEQ/MEPP/MEP</t>
  </si>
  <si>
    <t>Sur la base des charges de réalisation + recette fonctionnelle + documentation + gestion de projet + MEQ/MEPP/MEP</t>
  </si>
  <si>
    <t>Charge pour Jira (en jours)</t>
  </si>
  <si>
    <t>Total général</t>
  </si>
  <si>
    <t>(vide)</t>
  </si>
  <si>
    <t>Charge estimée</t>
  </si>
  <si>
    <t>Recette</t>
  </si>
  <si>
    <t>Pilotage</t>
  </si>
  <si>
    <t>Imprévus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</si>
</sst>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_ ;[Red]\-#,##0.00\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/>
        <bgColor theme="6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13">
    <xf numFmtId="0" fontId="0" fillId="0" borderId="0" xfId="0"/>
    <xf numFmtId="9" fontId="2" fillId="2" borderId="0" xfId="2" applyNumberFormat="1"/>
    <xf numFmtId="9" fontId="0" fillId="0" borderId="0" xfId="1" applyFont="1"/>
    <xf numFmtId="9" fontId="3" fillId="3" borderId="0" xfId="3" applyNumberFormat="1"/>
    <xf numFmtId="9" fontId="4" fillId="4" borderId="0" xfId="4" applyNumberFormat="1"/>
    <xf numFmtId="0" fontId="5" fillId="5" borderId="1" xfId="0" applyFont="1" applyFill="1" applyBorder="1"/>
    <xf numFmtId="0" fontId="0" fillId="0" borderId="1" xfId="0" applyBorder="1"/>
    <xf numFmtId="0" fontId="0" fillId="0" borderId="0" xfId="0" pivotButton="1"/>
    <xf numFmtId="164" fontId="6" fillId="6" borderId="0" xfId="0" applyNumberFormat="1" applyFont="1" applyFill="1"/>
    <xf numFmtId="164" fontId="0" fillId="0" borderId="0" xfId="0" applyNumberForma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NumberFormat="1"/>
  </cellXfs>
  <cellStyles count="5">
    <cellStyle name="Insatisfaisant" xfId="3" builtinId="27"/>
    <cellStyle name="Neutre" xfId="4" builtinId="28"/>
    <cellStyle name="Normal" xfId="0" builtinId="0"/>
    <cellStyle name="Pourcentage" xfId="1" builtinId="5"/>
    <cellStyle name="Satisfaisant" xfId="2" builtinId="26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#,##0.00_ ;[Red]\-#,##0.00\ "/>
      <alignment horizontal="general" vertical="top" textRotation="0" indent="0" justifyLastLine="0" shrinkToFit="0" readingOrder="0"/>
    </dxf>
    <dxf>
      <numFmt numFmtId="164" formatCode="#,##0.00_ ;[Red]\-#,##0.00\ "/>
      <alignment horizontal="general" vertical="top" textRotation="0" indent="0" justifyLastLine="0" shrinkToFit="0" readingOrder="0"/>
    </dxf>
    <dxf>
      <numFmt numFmtId="164" formatCode="#,##0.00_ ;[Red]\-#,##0.00\ "/>
      <alignment horizontal="general" vertical="top" textRotation="0" indent="0" justifyLastLine="0" shrinkToFit="0" readingOrder="0"/>
    </dxf>
    <dxf>
      <numFmt numFmtId="164" formatCode="#,##0.00_ ;[Red]\-#,##0.00\ "/>
      <alignment horizontal="general" vertical="top" textRotation="0" indent="0" justifyLastLine="0" shrinkToFit="0" readingOrder="0"/>
    </dxf>
    <dxf>
      <numFmt numFmtId="164" formatCode="#,##0.00_ ;[Red]\-#,##0.00\ "/>
      <alignment horizontal="general" vertical="top" textRotation="0" indent="0" justifyLastLine="0" shrinkToFit="0" readingOrder="0"/>
    </dxf>
    <dxf>
      <numFmt numFmtId="164" formatCode="#,##0.00_ ;[Red]\-#,##0.00\ "/>
      <alignment horizontal="general" vertical="top" textRotation="0" indent="0" justifyLastLine="0" shrinkToFit="0" readingOrder="0"/>
    </dxf>
    <dxf>
      <numFmt numFmtId="164" formatCode="#,##0.00_ ;[Red]\-#,##0.00\ "/>
      <alignment horizontal="general" vertical="top" textRotation="0" indent="0" justifyLastLine="0" shrinkToFit="0" readingOrder="0"/>
    </dxf>
    <dxf>
      <numFmt numFmtId="164" formatCode="#,##0.00_ ;[Red]\-#,##0.00\ "/>
      <alignment horizontal="general" vertical="top" textRotation="0" wrapText="0" indent="0" justifyLastLine="0" shrinkToFit="0" readingOrder="0"/>
    </dxf>
    <dxf>
      <numFmt numFmtId="164" formatCode="#,##0.00_ ;[Red]\-#,##0.00\ "/>
      <alignment horizontal="general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lie.vandycke" refreshedDate="44874.574467939812" createdVersion="4" refreshedVersion="4" minRefreshableVersion="3" recordCount="4">
  <cacheSource type="worksheet">
    <worksheetSource name="Tableau3"/>
  </cacheSource>
  <cacheFields count="12">
    <cacheField name="Numéro" numFmtId="0">
      <sharedItems containsNonDate="0" containsString="0" containsBlank="1" count="1">
        <m/>
      </sharedItems>
    </cacheField>
    <cacheField name="Tâche à réaliser" numFmtId="0">
      <sharedItems containsNonDate="0" containsString="0" containsBlank="1" count="1">
        <m/>
      </sharedItems>
    </cacheField>
    <cacheField name="Commentaires" numFmtId="0">
      <sharedItems containsNonDate="0" containsString="0" containsBlank="1"/>
    </cacheField>
    <cacheField name="Charge estimée (en h)" numFmtId="164">
      <sharedItems containsSemiMixedTypes="0" containsString="0" containsNumber="1" containsInteger="1" minValue="0" maxValue="0"/>
    </cacheField>
    <cacheField name="Revue de code (en h)" numFmtId="164">
      <sharedItems containsSemiMixedTypes="0" containsString="0" containsNumber="1" containsInteger="1" minValue="0" maxValue="0"/>
    </cacheField>
    <cacheField name="Recette (en h)" numFmtId="164">
      <sharedItems containsSemiMixedTypes="0" containsString="0" containsNumber="1" containsInteger="1" minValue="0" maxValue="0"/>
    </cacheField>
    <cacheField name="Documentation (en h)" numFmtId="164">
      <sharedItems containsSemiMixedTypes="0" containsString="0" containsNumber="1" containsInteger="1" minValue="0" maxValue="0"/>
    </cacheField>
    <cacheField name="MEQ (en h)" numFmtId="164">
      <sharedItems containsSemiMixedTypes="0" containsString="0" containsNumber="1" containsInteger="1" minValue="0" maxValue="0"/>
    </cacheField>
    <cacheField name="MEPP (en h)" numFmtId="164">
      <sharedItems containsSemiMixedTypes="0" containsString="0" containsNumber="1" containsInteger="1" minValue="0" maxValue="0"/>
    </cacheField>
    <cacheField name="MEP (en h)" numFmtId="164">
      <sharedItems containsSemiMixedTypes="0" containsString="0" containsNumber="1" containsInteger="1" minValue="0" maxValue="0"/>
    </cacheField>
    <cacheField name="Pilotage (en h)" numFmtId="164">
      <sharedItems containsSemiMixedTypes="0" containsString="0" containsNumber="1" containsInteger="1" minValue="0" maxValue="0"/>
    </cacheField>
    <cacheField name="Imprévus (en h)" numFmtId="16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x v="0"/>
    <m/>
    <n v="0"/>
    <n v="0"/>
    <n v="0"/>
    <n v="0"/>
    <n v="0"/>
    <n v="0"/>
    <n v="0"/>
    <n v="0"/>
    <n v="0"/>
  </r>
  <r>
    <x v="0"/>
    <x v="0"/>
    <m/>
    <n v="0"/>
    <n v="0"/>
    <n v="0"/>
    <n v="0"/>
    <n v="0"/>
    <n v="0"/>
    <n v="0"/>
    <n v="0"/>
    <n v="0"/>
  </r>
  <r>
    <x v="0"/>
    <x v="0"/>
    <m/>
    <n v="0"/>
    <n v="0"/>
    <n v="0"/>
    <n v="0"/>
    <n v="0"/>
    <n v="0"/>
    <n v="0"/>
    <n v="0"/>
    <n v="0"/>
  </r>
  <r>
    <x v="0"/>
    <x v="0"/>
    <m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8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compact="0" compactData="0" multipleFieldFilters="0">
  <location ref="A3:K5" firstHeaderRow="0" firstDataRow="1" firstDataCol="2"/>
  <pivotFields count="12"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compact="0" outline="0" showAll="0" defaultSubtotal="0"/>
    <pivotField dataField="1" compact="0" outline="0" showAll="0" defaultSubtotal="0"/>
    <pivotField dataField="1" compact="0" numFmtId="164" outline="0" showAll="0" defaultSubtotal="0"/>
    <pivotField dataField="1" compact="0" numFmtId="164" outline="0" showAll="0" defaultSubtotal="0"/>
    <pivotField dataField="1" compact="0" numFmtId="164" outline="0" showAll="0" defaultSubtotal="0"/>
    <pivotField dataField="1" compact="0" numFmtId="164" outline="0" showAll="0" defaultSubtotal="0"/>
    <pivotField dataField="1" compact="0" numFmtId="164" outline="0" showAll="0" defaultSubtotal="0"/>
    <pivotField dataField="1" compact="0" numFmtId="164" outline="0" showAll="0" defaultSubtotal="0"/>
    <pivotField dataField="1" compact="0" numFmtId="164" outline="0" showAll="0" defaultSubtotal="0"/>
    <pivotField dataField="1" compact="0" numFmtId="164" outline="0" showAll="0" defaultSubtotal="0"/>
  </pivotFields>
  <rowFields count="2">
    <field x="0"/>
    <field x="1"/>
  </rowFields>
  <rowItems count="2">
    <i>
      <x/>
      <x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Charge estimée" fld="3" baseField="1" baseItem="0"/>
    <dataField name="Revue de code" fld="4" baseField="0" baseItem="0"/>
    <dataField name="Documentation" fld="6" baseField="0" baseItem="0"/>
    <dataField name="MEQ" fld="7" baseField="0" baseItem="0"/>
    <dataField name="Recette" fld="5" baseField="0" baseItem="0"/>
    <dataField name="MEPP" fld="8" baseField="0" baseItem="0"/>
    <dataField name="MEP" fld="9" baseField="0" baseItem="0"/>
    <dataField name="Pilotage" fld="10" baseField="0" baseItem="0"/>
    <dataField name="Imprévus" fld="11" baseField="0" baseItem="0"/>
  </dataField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au3" displayName="Tableau3" ref="A1:L5" totalsRowShown="0" headerRowDxfId="15" dataDxfId="14">
  <autoFilter ref="A1:L5"/>
  <tableColumns count="12">
    <tableColumn id="1" name="Numéro" dataDxfId="13"/>
    <tableColumn id="2" name="Tâche à réaliser" dataDxfId="12"/>
    <tableColumn id="5" name="Commentaires" dataDxfId="11"/>
    <tableColumn id="3" name="Charge estimée (en h)" dataDxfId="10"/>
    <tableColumn id="9" name="Revue de code (en h)" dataDxfId="9">
      <calculatedColumnFormula>Tableau3[[#This Row],[Charge estimée (en h)]]*Ratios!$C$9</calculatedColumnFormula>
    </tableColumn>
    <tableColumn id="4" name="Recette (en h)" dataDxfId="8">
      <calculatedColumnFormula>Tableau3[[#This Row],[Charge estimée (en h)]]*Ratios!$C$2</calculatedColumnFormula>
    </tableColumn>
    <tableColumn id="6" name="Documentation (en h)" dataDxfId="7">
      <calculatedColumnFormula>Tableau3[[#This Row],[Charge estimée (en h)]]*Ratios!$C$3</calculatedColumnFormula>
    </tableColumn>
    <tableColumn id="12" name="MEQ (en h)" dataDxfId="6">
      <calculatedColumnFormula>Tableau3[[#This Row],[Charge estimée (en h)]]*Ratios!$C$4</calculatedColumnFormula>
    </tableColumn>
    <tableColumn id="11" name="MEPP (en h)" dataDxfId="5">
      <calculatedColumnFormula>Tableau3[[#This Row],[Charge estimée (en h)]]*Ratios!$C$5</calculatedColumnFormula>
    </tableColumn>
    <tableColumn id="10" name="MEP (en h)" dataDxfId="4">
      <calculatedColumnFormula>Tableau3[[#This Row],[Charge estimée (en h)]]*Ratios!$C$6</calculatedColumnFormula>
    </tableColumn>
    <tableColumn id="7" name="Pilotage (en h)" dataDxfId="3">
      <calculatedColumnFormula>(Tableau3[[#This Row],[Charge estimée (en h)]]+Tableau3[[#This Row],[Recette (en h)]]+Tableau3[[#This Row],[Documentation (en h)]]+Tableau3[[#This Row],[MEQ (en h)]]+Tableau3[[#This Row],[MEPP (en h)]]+Tableau3[[#This Row],[MEP (en h)]])*Ratios!$C$7</calculatedColumnFormula>
    </tableColumn>
    <tableColumn id="8" name="Imprévus (en h)" dataDxfId="2">
      <calculatedColumnFormula>(Tableau3[[#This Row],[Charge estimée (en h)]]+Tableau3[[#This Row],[Recette (en h)]]+Tableau3[[#This Row],[Documentation (en h)]]+Tableau3[[#This Row],[Pilotage (en h)]]+Tableau3[[#This Row],[MEQ (en h)]]+Tableau3[[#This Row],[MEPP (en h)]]+Tableau3[[#This Row],[MEP (en h)]])*Ratios!$C$8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Tableau2" displayName="Tableau2" ref="A1:E9" totalsRowShown="0" dataDxfId="1" dataCellStyle="Pourcentage">
  <autoFilter ref="A1:E9"/>
  <tableColumns count="5">
    <tableColumn id="1" name="Ratio"/>
    <tableColumn id="2" name="Seuil min." dataCellStyle="Satisfaisant"/>
    <tableColumn id="3" name="Seuil retenu" dataDxfId="0" dataCellStyle="Pourcentage"/>
    <tableColumn id="4" name="Seuil max." dataCellStyle="Insatisfaisant"/>
    <tableColumn id="5" name="Commentaires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5"/>
  <sheetViews>
    <sheetView tabSelected="1" workbookViewId="0">
      <selection activeCell="C4" sqref="C4"/>
    </sheetView>
  </sheetViews>
  <sheetFormatPr baseColWidth="10" defaultRowHeight="14.4" x14ac:dyDescent="0.3"/>
  <cols>
    <col min="1" max="1" width="22.44140625" bestFit="1" customWidth="1"/>
    <col min="2" max="2" width="16.109375" customWidth="1"/>
    <col min="3" max="3" width="13.88671875" bestFit="1" customWidth="1"/>
    <col min="4" max="4" width="20.88671875" bestFit="1" customWidth="1"/>
    <col min="5" max="5" width="14.109375" bestFit="1" customWidth="1"/>
    <col min="6" max="6" width="5.109375" bestFit="1" customWidth="1"/>
    <col min="7" max="7" width="23.33203125" bestFit="1" customWidth="1"/>
    <col min="8" max="8" width="6" bestFit="1" customWidth="1"/>
    <col min="9" max="9" width="4.88671875" bestFit="1" customWidth="1"/>
    <col min="10" max="10" width="7.77734375" bestFit="1" customWidth="1"/>
    <col min="11" max="11" width="8.88671875" bestFit="1" customWidth="1"/>
  </cols>
  <sheetData>
    <row r="1" spans="1:11" ht="15" x14ac:dyDescent="0.25">
      <c r="A1" s="5" t="s">
        <v>13</v>
      </c>
      <c r="B1" s="8">
        <f>SUM(C5:K5)</f>
        <v>0</v>
      </c>
      <c r="D1" s="5" t="s">
        <v>14</v>
      </c>
      <c r="E1" s="8">
        <f>B1/Ratios!$B$11</f>
        <v>0</v>
      </c>
      <c r="G1" s="5" t="s">
        <v>30</v>
      </c>
      <c r="H1" s="8">
        <f>CEILING(E1,0.5)</f>
        <v>0</v>
      </c>
    </row>
    <row r="3" spans="1:11" x14ac:dyDescent="0.3">
      <c r="A3" s="7" t="s">
        <v>0</v>
      </c>
      <c r="B3" s="7" t="s">
        <v>12</v>
      </c>
      <c r="C3" t="s">
        <v>33</v>
      </c>
      <c r="D3" t="s">
        <v>19</v>
      </c>
      <c r="E3" t="s">
        <v>8</v>
      </c>
      <c r="F3" t="s">
        <v>22</v>
      </c>
      <c r="G3" t="s">
        <v>34</v>
      </c>
      <c r="H3" t="s">
        <v>23</v>
      </c>
      <c r="I3" t="s">
        <v>24</v>
      </c>
      <c r="J3" t="s">
        <v>35</v>
      </c>
      <c r="K3" t="s">
        <v>36</v>
      </c>
    </row>
    <row r="4" spans="1:11" x14ac:dyDescent="0.3">
      <c r="A4" t="s">
        <v>32</v>
      </c>
      <c r="B4" t="s">
        <v>32</v>
      </c>
      <c r="C4" s="12">
        <v>0</v>
      </c>
      <c r="D4" s="12">
        <v>0</v>
      </c>
      <c r="E4" s="12">
        <v>0</v>
      </c>
      <c r="F4" s="12">
        <v>0</v>
      </c>
      <c r="G4" s="12">
        <v>0</v>
      </c>
      <c r="H4" s="12">
        <v>0</v>
      </c>
      <c r="I4" s="12">
        <v>0</v>
      </c>
      <c r="J4" s="12">
        <v>0</v>
      </c>
      <c r="K4" s="12">
        <v>0</v>
      </c>
    </row>
    <row r="5" spans="1:11" x14ac:dyDescent="0.3">
      <c r="A5" t="s">
        <v>31</v>
      </c>
      <c r="C5" s="12">
        <v>0</v>
      </c>
      <c r="D5" s="12">
        <v>0</v>
      </c>
      <c r="E5" s="12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</row>
  </sheetData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r:id="rId2"/>
  <headerFooter>
    <oddHeader>&amp;A</oddHeader>
    <oddFooter>&amp;L&amp;B Confidentiel&amp;B&amp;C&amp;D&amp;RPage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5"/>
  <sheetViews>
    <sheetView workbookViewId="0">
      <selection activeCell="D6" sqref="D6"/>
    </sheetView>
  </sheetViews>
  <sheetFormatPr baseColWidth="10" defaultColWidth="11.44140625" defaultRowHeight="14.4" x14ac:dyDescent="0.3"/>
  <cols>
    <col min="1" max="1" width="10.109375" style="10" bestFit="1" customWidth="1"/>
    <col min="2" max="2" width="16.109375" style="10" bestFit="1" customWidth="1"/>
    <col min="3" max="3" width="15.44140625" style="10" bestFit="1" customWidth="1"/>
    <col min="4" max="4" width="21.6640625" style="10" bestFit="1" customWidth="1"/>
    <col min="5" max="5" width="21.109375" style="10" bestFit="1" customWidth="1"/>
    <col min="6" max="6" width="15" style="10" bestFit="1" customWidth="1"/>
    <col min="7" max="7" width="21.88671875" style="10" bestFit="1" customWidth="1"/>
    <col min="8" max="8" width="12.77734375" style="10" bestFit="1" customWidth="1"/>
    <col min="9" max="9" width="13.6640625" style="10" bestFit="1" customWidth="1"/>
    <col min="10" max="10" width="12.5546875" style="10" bestFit="1" customWidth="1"/>
    <col min="11" max="11" width="15.44140625" style="10" bestFit="1" customWidth="1"/>
    <col min="12" max="12" width="16.5546875" style="10" bestFit="1" customWidth="1"/>
    <col min="13" max="16384" width="11.44140625" style="10"/>
  </cols>
  <sheetData>
    <row r="1" spans="1:12" x14ac:dyDescent="0.3">
      <c r="A1" s="10" t="s">
        <v>0</v>
      </c>
      <c r="B1" s="10" t="s">
        <v>12</v>
      </c>
      <c r="C1" s="10" t="s">
        <v>1</v>
      </c>
      <c r="D1" s="10" t="s">
        <v>20</v>
      </c>
      <c r="E1" s="10" t="s">
        <v>21</v>
      </c>
      <c r="F1" s="10" t="s">
        <v>15</v>
      </c>
      <c r="G1" s="10" t="s">
        <v>16</v>
      </c>
      <c r="H1" s="10" t="s">
        <v>25</v>
      </c>
      <c r="I1" s="10" t="s">
        <v>26</v>
      </c>
      <c r="J1" s="10" t="s">
        <v>27</v>
      </c>
      <c r="K1" s="10" t="s">
        <v>17</v>
      </c>
      <c r="L1" s="10" t="s">
        <v>18</v>
      </c>
    </row>
    <row r="2" spans="1:12" x14ac:dyDescent="0.3">
      <c r="D2" s="9">
        <v>0</v>
      </c>
      <c r="E2" s="9">
        <f>Tableau3[[#This Row],[Charge estimée (en h)]]*Ratios!$C$9</f>
        <v>0</v>
      </c>
      <c r="F2" s="9">
        <f>Tableau3[[#This Row],[Charge estimée (en h)]]*Ratios!$C$2</f>
        <v>0</v>
      </c>
      <c r="G2" s="9">
        <f>Tableau3[[#This Row],[Charge estimée (en h)]]*Ratios!$C$3</f>
        <v>0</v>
      </c>
      <c r="H2" s="9">
        <f>Tableau3[[#This Row],[Charge estimée (en h)]]*Ratios!$C$4</f>
        <v>0</v>
      </c>
      <c r="I2" s="9">
        <f>Tableau3[[#This Row],[Charge estimée (en h)]]*Ratios!$C$5</f>
        <v>0</v>
      </c>
      <c r="J2" s="9">
        <f>Tableau3[[#This Row],[Charge estimée (en h)]]*Ratios!$C$6</f>
        <v>0</v>
      </c>
      <c r="K2" s="9">
        <f>(Tableau3[[#This Row],[Charge estimée (en h)]]+Tableau3[[#This Row],[Recette (en h)]]+Tableau3[[#This Row],[Documentation (en h)]]+Tableau3[[#This Row],[MEQ (en h)]]+Tableau3[[#This Row],[MEPP (en h)]]+Tableau3[[#This Row],[MEP (en h)]])*Ratios!$C$7</f>
        <v>0</v>
      </c>
      <c r="L2" s="9">
        <f>(Tableau3[[#This Row],[Charge estimée (en h)]]+Tableau3[[#This Row],[Recette (en h)]]+Tableau3[[#This Row],[Documentation (en h)]]+Tableau3[[#This Row],[Pilotage (en h)]]+Tableau3[[#This Row],[MEQ (en h)]]+Tableau3[[#This Row],[MEPP (en h)]]+Tableau3[[#This Row],[MEP (en h)]])*Ratios!$C$8</f>
        <v>0</v>
      </c>
    </row>
    <row r="3" spans="1:12" x14ac:dyDescent="0.3">
      <c r="C3" s="11"/>
      <c r="D3" s="9">
        <v>0</v>
      </c>
      <c r="E3" s="9">
        <f>Tableau3[[#This Row],[Charge estimée (en h)]]*Ratios!$C$9</f>
        <v>0</v>
      </c>
      <c r="F3" s="9">
        <f>Tableau3[[#This Row],[Charge estimée (en h)]]*Ratios!$C$2</f>
        <v>0</v>
      </c>
      <c r="G3" s="9">
        <f>Tableau3[[#This Row],[Charge estimée (en h)]]*Ratios!$C$3</f>
        <v>0</v>
      </c>
      <c r="H3" s="9">
        <f>Tableau3[[#This Row],[Charge estimée (en h)]]*Ratios!$C$4</f>
        <v>0</v>
      </c>
      <c r="I3" s="9">
        <f>Tableau3[[#This Row],[Charge estimée (en h)]]*Ratios!$C$5</f>
        <v>0</v>
      </c>
      <c r="J3" s="9">
        <f>Tableau3[[#This Row],[Charge estimée (en h)]]*Ratios!$C$6</f>
        <v>0</v>
      </c>
      <c r="K3" s="9">
        <f>(Tableau3[[#This Row],[Charge estimée (en h)]]+Tableau3[[#This Row],[Recette (en h)]]+Tableau3[[#This Row],[Documentation (en h)]]+Tableau3[[#This Row],[MEQ (en h)]]+Tableau3[[#This Row],[MEPP (en h)]]+Tableau3[[#This Row],[MEP (en h)]])*Ratios!$C$7</f>
        <v>0</v>
      </c>
      <c r="L3" s="9">
        <f>(Tableau3[[#This Row],[Charge estimée (en h)]]+Tableau3[[#This Row],[Recette (en h)]]+Tableau3[[#This Row],[Documentation (en h)]]+Tableau3[[#This Row],[Pilotage (en h)]]+Tableau3[[#This Row],[MEQ (en h)]]+Tableau3[[#This Row],[MEPP (en h)]]+Tableau3[[#This Row],[MEP (en h)]])*Ratios!$C$8</f>
        <v>0</v>
      </c>
    </row>
    <row r="4" spans="1:12" x14ac:dyDescent="0.3">
      <c r="C4" s="11"/>
      <c r="D4" s="9">
        <v>0</v>
      </c>
      <c r="E4" s="9">
        <f>Tableau3[[#This Row],[Charge estimée (en h)]]*Ratios!$C$9</f>
        <v>0</v>
      </c>
      <c r="F4" s="9">
        <f>Tableau3[[#This Row],[Charge estimée (en h)]]*Ratios!$C$2</f>
        <v>0</v>
      </c>
      <c r="G4" s="9">
        <f>Tableau3[[#This Row],[Charge estimée (en h)]]*Ratios!$C$3</f>
        <v>0</v>
      </c>
      <c r="H4" s="9">
        <f>Tableau3[[#This Row],[Charge estimée (en h)]]*Ratios!$C$4</f>
        <v>0</v>
      </c>
      <c r="I4" s="9">
        <f>Tableau3[[#This Row],[Charge estimée (en h)]]*Ratios!$C$5</f>
        <v>0</v>
      </c>
      <c r="J4" s="9">
        <f>Tableau3[[#This Row],[Charge estimée (en h)]]*Ratios!$C$6</f>
        <v>0</v>
      </c>
      <c r="K4" s="9">
        <f>(Tableau3[[#This Row],[Charge estimée (en h)]]+Tableau3[[#This Row],[Recette (en h)]]+Tableau3[[#This Row],[Documentation (en h)]]+Tableau3[[#This Row],[MEQ (en h)]]+Tableau3[[#This Row],[MEPP (en h)]]+Tableau3[[#This Row],[MEP (en h)]])*Ratios!$C$7</f>
        <v>0</v>
      </c>
      <c r="L4" s="9">
        <f>(Tableau3[[#This Row],[Charge estimée (en h)]]+Tableau3[[#This Row],[Recette (en h)]]+Tableau3[[#This Row],[Documentation (en h)]]+Tableau3[[#This Row],[Pilotage (en h)]]+Tableau3[[#This Row],[MEQ (en h)]]+Tableau3[[#This Row],[MEPP (en h)]]+Tableau3[[#This Row],[MEP (en h)]])*Ratios!$C$8</f>
        <v>0</v>
      </c>
    </row>
    <row r="5" spans="1:12" x14ac:dyDescent="0.3">
      <c r="C5" s="11"/>
      <c r="D5" s="9">
        <v>0</v>
      </c>
      <c r="E5" s="9">
        <f>Tableau3[[#This Row],[Charge estimée (en h)]]*Ratios!$C$9</f>
        <v>0</v>
      </c>
      <c r="F5" s="9">
        <f>Tableau3[[#This Row],[Charge estimée (en h)]]*Ratios!$C$2</f>
        <v>0</v>
      </c>
      <c r="G5" s="9">
        <f>Tableau3[[#This Row],[Charge estimée (en h)]]*Ratios!$C$3</f>
        <v>0</v>
      </c>
      <c r="H5" s="9">
        <f>Tableau3[[#This Row],[Charge estimée (en h)]]*Ratios!$C$4</f>
        <v>0</v>
      </c>
      <c r="I5" s="9">
        <f>Tableau3[[#This Row],[Charge estimée (en h)]]*Ratios!$C$5</f>
        <v>0</v>
      </c>
      <c r="J5" s="9">
        <f>Tableau3[[#This Row],[Charge estimée (en h)]]*Ratios!$C$6</f>
        <v>0</v>
      </c>
      <c r="K5" s="9">
        <f>(Tableau3[[#This Row],[Charge estimée (en h)]]+Tableau3[[#This Row],[Recette (en h)]]+Tableau3[[#This Row],[Documentation (en h)]]+Tableau3[[#This Row],[MEQ (en h)]]+Tableau3[[#This Row],[MEPP (en h)]]+Tableau3[[#This Row],[MEP (en h)]])*Ratios!$C$7</f>
        <v>0</v>
      </c>
      <c r="L5" s="9">
        <f>(Tableau3[[#This Row],[Charge estimée (en h)]]+Tableau3[[#This Row],[Recette (en h)]]+Tableau3[[#This Row],[Documentation (en h)]]+Tableau3[[#This Row],[Pilotage (en h)]]+Tableau3[[#This Row],[MEQ (en h)]]+Tableau3[[#This Row],[MEPP (en h)]]+Tableau3[[#This Row],[MEP (en h)]])*Ratios!$C$8</f>
        <v>0</v>
      </c>
    </row>
  </sheetData>
  <phoneticPr fontId="9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landscape" r:id="rId1"/>
  <headerFooter>
    <oddHeader>&amp;A</oddHeader>
    <oddFooter>&amp;L&amp;B Confidentiel&amp;B&amp;C&amp;D&amp;RPage &amp;P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E11"/>
  <sheetViews>
    <sheetView workbookViewId="0">
      <selection activeCell="C8" sqref="C8"/>
    </sheetView>
  </sheetViews>
  <sheetFormatPr baseColWidth="10" defaultRowHeight="14.4" x14ac:dyDescent="0.3"/>
  <cols>
    <col min="1" max="1" width="24.109375" bestFit="1" customWidth="1"/>
    <col min="2" max="2" width="12.109375" bestFit="1" customWidth="1"/>
    <col min="3" max="3" width="14.109375" bestFit="1" customWidth="1"/>
    <col min="4" max="4" width="12.44140625" bestFit="1" customWidth="1"/>
    <col min="5" max="5" width="106" bestFit="1" customWidth="1"/>
  </cols>
  <sheetData>
    <row r="1" spans="1:5" ht="15" x14ac:dyDescent="0.25">
      <c r="A1" t="s">
        <v>2</v>
      </c>
      <c r="B1" t="s">
        <v>3</v>
      </c>
      <c r="C1" t="s">
        <v>4</v>
      </c>
      <c r="D1" t="s">
        <v>5</v>
      </c>
      <c r="E1" t="s">
        <v>1</v>
      </c>
    </row>
    <row r="2" spans="1:5" x14ac:dyDescent="0.3">
      <c r="A2" t="s">
        <v>6</v>
      </c>
      <c r="B2" s="1">
        <v>0.2</v>
      </c>
      <c r="C2" s="2">
        <v>0.25</v>
      </c>
      <c r="D2" s="3">
        <v>0.3</v>
      </c>
      <c r="E2" t="s">
        <v>7</v>
      </c>
    </row>
    <row r="3" spans="1:5" x14ac:dyDescent="0.3">
      <c r="A3" t="s">
        <v>8</v>
      </c>
      <c r="B3" s="1">
        <v>0.05</v>
      </c>
      <c r="C3" s="4">
        <v>0.05</v>
      </c>
      <c r="D3" s="3">
        <v>0.05</v>
      </c>
      <c r="E3" t="s">
        <v>7</v>
      </c>
    </row>
    <row r="4" spans="1:5" x14ac:dyDescent="0.3">
      <c r="A4" t="s">
        <v>22</v>
      </c>
      <c r="B4" s="1">
        <v>0.05</v>
      </c>
      <c r="C4" s="2">
        <v>0.05</v>
      </c>
      <c r="D4" s="3">
        <v>0.1</v>
      </c>
      <c r="E4" t="s">
        <v>7</v>
      </c>
    </row>
    <row r="5" spans="1:5" x14ac:dyDescent="0.3">
      <c r="A5" t="s">
        <v>23</v>
      </c>
      <c r="B5" s="1">
        <v>0.05</v>
      </c>
      <c r="C5" s="2">
        <v>0.05</v>
      </c>
      <c r="D5" s="3">
        <v>0.1</v>
      </c>
      <c r="E5" t="s">
        <v>7</v>
      </c>
    </row>
    <row r="6" spans="1:5" x14ac:dyDescent="0.3">
      <c r="A6" t="s">
        <v>24</v>
      </c>
      <c r="B6" s="1">
        <v>0.05</v>
      </c>
      <c r="C6" s="2">
        <v>0.05</v>
      </c>
      <c r="D6" s="3">
        <v>0.1</v>
      </c>
      <c r="E6" t="s">
        <v>7</v>
      </c>
    </row>
    <row r="7" spans="1:5" x14ac:dyDescent="0.3">
      <c r="A7" t="s">
        <v>9</v>
      </c>
      <c r="B7" s="1">
        <v>0.1</v>
      </c>
      <c r="C7" s="2">
        <v>0.15</v>
      </c>
      <c r="D7" s="3">
        <v>0.2</v>
      </c>
      <c r="E7" t="s">
        <v>28</v>
      </c>
    </row>
    <row r="8" spans="1:5" x14ac:dyDescent="0.3">
      <c r="A8" t="s">
        <v>10</v>
      </c>
      <c r="B8" s="1">
        <v>0.1</v>
      </c>
      <c r="C8" s="2">
        <v>0.15</v>
      </c>
      <c r="D8" s="3">
        <v>0.2</v>
      </c>
      <c r="E8" t="s">
        <v>29</v>
      </c>
    </row>
    <row r="9" spans="1:5" x14ac:dyDescent="0.3">
      <c r="A9" t="s">
        <v>19</v>
      </c>
      <c r="B9" s="1">
        <v>0.05</v>
      </c>
      <c r="C9" s="4">
        <v>0.05</v>
      </c>
      <c r="D9" s="3">
        <v>0.05</v>
      </c>
      <c r="E9" t="s">
        <v>7</v>
      </c>
    </row>
    <row r="11" spans="1:5" ht="15" x14ac:dyDescent="0.25">
      <c r="A11" s="5" t="s">
        <v>11</v>
      </c>
      <c r="B11" s="6">
        <v>8</v>
      </c>
    </row>
  </sheetData>
  <printOptions horizontalCentered="1"/>
  <pageMargins left="0.25" right="0.25" top="0.75" bottom="0.75" header="0.3" footer="0.3"/>
  <pageSetup paperSize="9" scale="93" fitToHeight="0" orientation="landscape" r:id="rId1"/>
  <headerFooter>
    <oddHeader>&amp;A</oddHeader>
    <oddFooter>&amp;L&amp;B Confidentiel&amp;B&amp;C&amp;D&amp;RPage &amp;P</oddFooter>
  </headerFooter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DBFE1046E1F94CAF84B80B1511704E" ma:contentTypeVersion="10" ma:contentTypeDescription="Crée un document." ma:contentTypeScope="" ma:versionID="3f98892c75e3d5d5c5741934e68e475e">
  <xsd:schema xmlns:xsd="http://www.w3.org/2001/XMLSchema" xmlns:xs="http://www.w3.org/2001/XMLSchema" xmlns:p="http://schemas.microsoft.com/office/2006/metadata/properties" xmlns:ns2="b6a988d7-1b11-42aa-b04e-0225e9e16016" xmlns:ns3="1f1446cc-15c4-4f5f-a21c-8003700c1b51" targetNamespace="http://schemas.microsoft.com/office/2006/metadata/properties" ma:root="true" ma:fieldsID="2ab096c6b9c9fcaa2e356ac4a0f634af" ns2:_="" ns3:_="">
    <xsd:import namespace="b6a988d7-1b11-42aa-b04e-0225e9e16016"/>
    <xsd:import namespace="1f1446cc-15c4-4f5f-a21c-8003700c1b5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a988d7-1b11-42aa-b04e-0225e9e160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1446cc-15c4-4f5f-a21c-8003700c1b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960749F-5A80-44FB-8B05-3C36F0001114}">
  <ds:schemaRefs>
    <ds:schemaRef ds:uri="http://purl.org/dc/elements/1.1/"/>
    <ds:schemaRef ds:uri="http://schemas.microsoft.com/office/2006/metadata/properties"/>
    <ds:schemaRef ds:uri="b6a988d7-1b11-42aa-b04e-0225e9e16016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f1446cc-15c4-4f5f-a21c-8003700c1b51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13AB1B7-8B22-448C-A8E3-42E93D3148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82F8B38-64FF-4F56-BA43-42DA6BDBA9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a988d7-1b11-42aa-b04e-0225e9e16016"/>
    <ds:schemaRef ds:uri="1f1446cc-15c4-4f5f-a21c-8003700c1b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Chiffrage</vt:lpstr>
      <vt:lpstr>Evaluation de la charge</vt:lpstr>
      <vt:lpstr>Ratios</vt:lpstr>
      <vt:lpstr>'Evaluation de la charge'!Impression_des_titres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des charges d'un développement</dc:title>
  <dc:creator>elie.vandycke</dc:creator>
  <cp:lastModifiedBy>elie.vandycke</cp:lastModifiedBy>
  <cp:lastPrinted>2020-08-21T09:36:38Z</cp:lastPrinted>
  <dcterms:created xsi:type="dcterms:W3CDTF">2020-08-21T09:20:31Z</dcterms:created>
  <dcterms:modified xsi:type="dcterms:W3CDTF">2022-11-09T12:48:49Z</dcterms:modified>
  <cp:category>Estimations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0x010100B7DBFE1046E1F94CAF84B80B1511704E</vt:lpwstr>
  </property>
</Properties>
</file>